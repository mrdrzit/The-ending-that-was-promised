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zuna\Desktop\The-ending-that-was-promised\Dados\"/>
    </mc:Choice>
  </mc:AlternateContent>
  <xr:revisionPtr revIDLastSave="0" documentId="13_ncr:1_{73BB9906-57B9-462E-97EF-EA9C399F20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texto A - BY" sheetId="1" r:id="rId1"/>
    <sheet name="Contexto B - BY" sheetId="2" r:id="rId2"/>
    <sheet name="Contexto A - Manual" sheetId="3" r:id="rId3"/>
    <sheet name="Contexto B - Manu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E2" i="1"/>
  <c r="E13" i="2"/>
  <c r="E12" i="2"/>
  <c r="E11" i="2"/>
  <c r="E10" i="2"/>
  <c r="E9" i="2"/>
  <c r="E8" i="2"/>
  <c r="E7" i="2"/>
  <c r="E6" i="2"/>
  <c r="E5" i="2"/>
  <c r="E4" i="2"/>
  <c r="E3" i="2"/>
  <c r="E2" i="2"/>
  <c r="E2" i="3"/>
  <c r="E13" i="3"/>
  <c r="E12" i="3"/>
  <c r="E11" i="3"/>
  <c r="E10" i="3"/>
  <c r="E9" i="3"/>
  <c r="E8" i="3"/>
  <c r="E7" i="3"/>
  <c r="E6" i="3"/>
  <c r="E5" i="3"/>
  <c r="E4" i="3"/>
  <c r="E3" i="3"/>
  <c r="E3" i="4"/>
  <c r="E4" i="4"/>
  <c r="E5" i="4"/>
  <c r="E6" i="4"/>
  <c r="E7" i="4"/>
  <c r="E8" i="4"/>
  <c r="E9" i="4"/>
  <c r="E10" i="4"/>
  <c r="E11" i="4"/>
  <c r="E12" i="4"/>
  <c r="E13" i="4"/>
  <c r="E2" i="4"/>
  <c r="D3" i="3"/>
  <c r="D4" i="3"/>
  <c r="D5" i="3"/>
  <c r="D6" i="3"/>
  <c r="D7" i="3"/>
  <c r="D8" i="3"/>
  <c r="D9" i="3"/>
  <c r="D10" i="3"/>
  <c r="D11" i="3"/>
  <c r="D12" i="3"/>
  <c r="D13" i="3"/>
  <c r="D3" i="4"/>
  <c r="D4" i="4"/>
  <c r="D5" i="4"/>
  <c r="D6" i="4"/>
  <c r="D7" i="4"/>
  <c r="D8" i="4"/>
  <c r="D9" i="4"/>
  <c r="D10" i="4"/>
  <c r="D11" i="4"/>
  <c r="D12" i="4"/>
  <c r="D13" i="4"/>
  <c r="D2" i="4"/>
  <c r="D2" i="3"/>
  <c r="D3" i="2"/>
  <c r="D4" i="2"/>
  <c r="D5" i="2"/>
  <c r="D6" i="2"/>
  <c r="D7" i="2"/>
  <c r="D8" i="2"/>
  <c r="D9" i="2"/>
  <c r="D10" i="2"/>
  <c r="D11" i="2"/>
  <c r="D12" i="2"/>
  <c r="D13" i="2"/>
  <c r="D2" i="2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<sst xmlns="http://schemas.openxmlformats.org/spreadsheetml/2006/main" count="42" uniqueCount="29">
  <si>
    <t>Treino</t>
  </si>
  <si>
    <t>Teste</t>
  </si>
  <si>
    <t>IRS</t>
  </si>
  <si>
    <t>IRS (relativo ao zero)</t>
  </si>
  <si>
    <t>1_LEVA_1_2024-06-04 14-42-49_A2CX1</t>
  </si>
  <si>
    <t>1_LEVA_1_2024-06-04 15-46-37_A1CX4</t>
  </si>
  <si>
    <t>1_LEVA_1_2024-06-04 16-56-44_A2CX4</t>
  </si>
  <si>
    <t>1_LEVA_1_2024-06-04 18-00-19_A1CX1</t>
  </si>
  <si>
    <t>1_LEVA_2_2024-06-07 15-07-34_A1CX2</t>
  </si>
  <si>
    <t>1_LEVA_2_2024-06-07 19-32-02_A1CX3</t>
  </si>
  <si>
    <t>2_2024-08-14_09-43-25-A1CX1</t>
  </si>
  <si>
    <t>2_2024-08-14_10-52-44-A1CX2</t>
  </si>
  <si>
    <t>2_2024-08-14_12-03-16-A2CX2</t>
  </si>
  <si>
    <t>2_2024-08-14_13-50-08-A1CX3</t>
  </si>
  <si>
    <t>2_2024-08-14_14-55-48-A2CX3</t>
  </si>
  <si>
    <t>2_2024-08-14_16-01-52-A1CX4</t>
  </si>
  <si>
    <t>Animal</t>
  </si>
  <si>
    <t>1_LEVA_2_2024-06-07 14-20-54_A1CX4</t>
  </si>
  <si>
    <t>1_LEVA_2_2024-06-07 14-44-18_A2CX4</t>
  </si>
  <si>
    <t>1_LEVA_2_2024-06-07 16-26-18_A1CX3</t>
  </si>
  <si>
    <t>1_LEVA_2_2024-06-07 17-37-08_A1CX1</t>
  </si>
  <si>
    <t>1_LEVA_2_2024-06-07 18-45-21_A2CX1</t>
  </si>
  <si>
    <t>1_LEVA_2_2024-06-07 19-09-18_A1CX2</t>
  </si>
  <si>
    <t>2_2024-08-16_09-50-29-A1CX1</t>
  </si>
  <si>
    <t>2_2024-08-16_10-59-30-A1CX2</t>
  </si>
  <si>
    <t>2_2024-08-16_12-02-34-A2CX2</t>
  </si>
  <si>
    <t>2_2024-08-16_14-25-43-A1CX3</t>
  </si>
  <si>
    <t>2_2024-08-16_15-33-39-A2CX3</t>
  </si>
  <si>
    <t>2_2024-08-16_16-39-31-A1CX4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</si>
</sst>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zoomScale="115" zoomScaleNormal="115" workbookViewId="0">
      <selection activeCell="E23" sqref="E23"/>
    </sheetView>
  </sheetViews>
  <sheetFormatPr defaultRowHeight="15" x14ac:dyDescent="0.25"/>
  <cols>
    <col min="1" max="1" width="39.140625" style="1" customWidth="1"/>
    <col min="2" max="4" width="9.140625" style="1"/>
    <col min="5" max="5" width="19.5703125" style="1" bestFit="1" customWidth="1"/>
    <col min="6" max="16384" width="9.140625" style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s="2">
        <v>84.5</v>
      </c>
      <c r="C2" s="2">
        <v>72.67</v>
      </c>
      <c r="D2" s="1">
        <f>C2/(B2+C2)</f>
        <v>0.46236559139784944</v>
      </c>
      <c r="E2" s="1">
        <f>(B2-C2)/(B2+C2)</f>
        <v>7.526881720430105E-2</v>
      </c>
    </row>
    <row r="3" spans="2:5" x14ac:dyDescent="0.25">
      <c r="B3" s="2">
        <v>95.43</v>
      </c>
      <c r="C3" s="2">
        <v>52.57</v>
      </c>
      <c r="D3" s="1">
        <f t="shared" ref="D3:D13" si="0">C3/(B3+C3)</f>
        <v>0.35520270270270271</v>
      </c>
      <c r="E3" s="1">
        <f t="shared" ref="E3:E13" si="1">(B3-C3)/(B3+C3)</f>
        <v>0.28959459459459463</v>
      </c>
    </row>
    <row r="4" spans="2:5" x14ac:dyDescent="0.25">
      <c r="B4" s="2">
        <v>63.57</v>
      </c>
      <c r="C4" s="2">
        <v>18</v>
      </c>
      <c r="D4" s="1">
        <f t="shared" si="0"/>
        <v>0.2206693637366679</v>
      </c>
      <c r="E4" s="1">
        <f t="shared" si="1"/>
        <v>0.55866127252666431</v>
      </c>
    </row>
    <row r="5" spans="2:5" x14ac:dyDescent="0.25">
      <c r="B5" s="2">
        <v>82.8</v>
      </c>
      <c r="C5" s="2">
        <v>45.73</v>
      </c>
      <c r="D5" s="1">
        <f t="shared" si="0"/>
        <v>0.35579242200264527</v>
      </c>
      <c r="E5" s="1">
        <f t="shared" si="1"/>
        <v>0.2884151559947094</v>
      </c>
    </row>
    <row r="6" spans="2:5" x14ac:dyDescent="0.25">
      <c r="B6" s="2">
        <v>45.73</v>
      </c>
      <c r="C6" s="2">
        <v>36.729999999999997</v>
      </c>
      <c r="D6" s="1">
        <f t="shared" si="0"/>
        <v>0.4454280863448945</v>
      </c>
      <c r="E6" s="1">
        <f t="shared" si="1"/>
        <v>0.10914382731021102</v>
      </c>
    </row>
    <row r="7" spans="2:5" x14ac:dyDescent="0.25">
      <c r="B7" s="2">
        <v>28.3</v>
      </c>
      <c r="C7" s="2">
        <v>12</v>
      </c>
      <c r="D7" s="1">
        <f t="shared" si="0"/>
        <v>0.29776674937965264</v>
      </c>
      <c r="E7" s="1">
        <f t="shared" si="1"/>
        <v>0.40446650124069483</v>
      </c>
    </row>
    <row r="8" spans="2:5" x14ac:dyDescent="0.25">
      <c r="B8" s="2">
        <v>65.633330000000001</v>
      </c>
      <c r="C8" s="2">
        <v>54.8</v>
      </c>
      <c r="D8" s="1">
        <f t="shared" si="0"/>
        <v>0.45502353874961354</v>
      </c>
      <c r="E8" s="1">
        <f t="shared" si="1"/>
        <v>8.9952922500772872E-2</v>
      </c>
    </row>
    <row r="9" spans="2:5" x14ac:dyDescent="0.25">
      <c r="B9" s="2">
        <v>98.9</v>
      </c>
      <c r="C9" s="2">
        <v>37.733333330000001</v>
      </c>
      <c r="D9" s="1">
        <f t="shared" si="0"/>
        <v>0.27616491825509065</v>
      </c>
      <c r="E9" s="1">
        <f t="shared" si="1"/>
        <v>0.44767016348981881</v>
      </c>
    </row>
    <row r="10" spans="2:5" x14ac:dyDescent="0.25">
      <c r="B10" s="2">
        <v>105.0667</v>
      </c>
      <c r="C10" s="2">
        <v>78.566666670000004</v>
      </c>
      <c r="D10" s="1">
        <f t="shared" si="0"/>
        <v>0.42784526632999625</v>
      </c>
      <c r="E10" s="1">
        <f t="shared" si="1"/>
        <v>0.14430946734000755</v>
      </c>
    </row>
    <row r="11" spans="2:5" x14ac:dyDescent="0.25">
      <c r="B11" s="2">
        <v>56.533329999999999</v>
      </c>
      <c r="C11" s="2">
        <v>60</v>
      </c>
      <c r="D11" s="1">
        <f t="shared" si="0"/>
        <v>0.51487415660395186</v>
      </c>
      <c r="E11" s="1">
        <f t="shared" si="1"/>
        <v>-2.97483132079037E-2</v>
      </c>
    </row>
    <row r="12" spans="2:5" x14ac:dyDescent="0.25">
      <c r="B12" s="2">
        <v>100.13330000000001</v>
      </c>
      <c r="C12" s="2">
        <v>52.133333329999999</v>
      </c>
      <c r="D12" s="1">
        <f t="shared" si="0"/>
        <v>0.342381861277605</v>
      </c>
      <c r="E12" s="1">
        <f t="shared" si="1"/>
        <v>0.31523627744479016</v>
      </c>
    </row>
    <row r="13" spans="2:5" x14ac:dyDescent="0.25">
      <c r="B13" s="2">
        <v>63.9</v>
      </c>
      <c r="C13" s="2">
        <v>44.7</v>
      </c>
      <c r="D13" s="1">
        <f t="shared" si="0"/>
        <v>0.41160220994475144</v>
      </c>
      <c r="E13" s="1">
        <f t="shared" si="1"/>
        <v>0.1767955801104972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EB26-2646-41CE-BB8B-AFACB5C6D8D9}">
  <dimension ref="B1:E13"/>
  <sheetViews>
    <sheetView workbookViewId="0">
      <selection activeCell="E2" sqref="E2:E13"/>
    </sheetView>
  </sheetViews>
  <sheetFormatPr defaultRowHeight="15" x14ac:dyDescent="0.25"/>
  <cols>
    <col min="1" max="4" width="9.140625" style="1"/>
    <col min="5" max="5" width="19.5703125" style="1" bestFit="1" customWidth="1"/>
    <col min="6" max="16384" width="9.140625" style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s="2">
        <v>39.630000000000003</v>
      </c>
      <c r="C2" s="2">
        <v>50.33</v>
      </c>
      <c r="D2" s="1">
        <f>C2/(B2+C2)</f>
        <v>0.55947087594486433</v>
      </c>
      <c r="E2" s="1">
        <f>(B2-C2)/(B2+C2)</f>
        <v>-0.11894175188972871</v>
      </c>
    </row>
    <row r="3" spans="2:5" x14ac:dyDescent="0.25">
      <c r="B3" s="2">
        <v>29.33</v>
      </c>
      <c r="C3" s="2">
        <v>20.37</v>
      </c>
      <c r="D3" s="1">
        <f t="shared" ref="D3:D13" si="0">C3/(B3+C3)</f>
        <v>0.40985915492957747</v>
      </c>
      <c r="E3" s="1">
        <f t="shared" ref="E3:E13" si="1">(B3-C3)/(B3+C3)</f>
        <v>0.180281690140845</v>
      </c>
    </row>
    <row r="4" spans="2:5" x14ac:dyDescent="0.25">
      <c r="B4" s="2">
        <v>62.6</v>
      </c>
      <c r="C4" s="2">
        <v>56.37</v>
      </c>
      <c r="D4" s="1">
        <f t="shared" si="0"/>
        <v>0.4738169286374716</v>
      </c>
      <c r="E4" s="1">
        <f t="shared" si="1"/>
        <v>5.2366142725056769E-2</v>
      </c>
    </row>
    <row r="5" spans="2:5" x14ac:dyDescent="0.25">
      <c r="B5" s="2">
        <v>66.27</v>
      </c>
      <c r="C5" s="2">
        <v>39.9</v>
      </c>
      <c r="D5" s="1">
        <f t="shared" si="0"/>
        <v>0.37581237637750781</v>
      </c>
      <c r="E5" s="1">
        <f t="shared" si="1"/>
        <v>0.24837524724498447</v>
      </c>
    </row>
    <row r="6" spans="2:5" x14ac:dyDescent="0.25">
      <c r="B6" s="2">
        <v>58.87</v>
      </c>
      <c r="C6" s="2">
        <v>58.87</v>
      </c>
      <c r="D6" s="1">
        <f t="shared" si="0"/>
        <v>0.5</v>
      </c>
      <c r="E6" s="1">
        <f t="shared" si="1"/>
        <v>0</v>
      </c>
    </row>
    <row r="7" spans="2:5" x14ac:dyDescent="0.25">
      <c r="B7" s="2">
        <v>62.43</v>
      </c>
      <c r="C7" s="2">
        <v>38.67</v>
      </c>
      <c r="D7" s="1">
        <f t="shared" si="0"/>
        <v>0.38249258160237393</v>
      </c>
      <c r="E7" s="1">
        <f t="shared" si="1"/>
        <v>0.23501483679525223</v>
      </c>
    </row>
    <row r="8" spans="2:5" x14ac:dyDescent="0.25">
      <c r="B8" s="2">
        <v>54.7</v>
      </c>
      <c r="C8" s="2">
        <v>38.966666670000002</v>
      </c>
      <c r="D8" s="1">
        <f t="shared" si="0"/>
        <v>0.41601423489622724</v>
      </c>
      <c r="E8" s="1">
        <f t="shared" si="1"/>
        <v>0.16797153020754549</v>
      </c>
    </row>
    <row r="9" spans="2:5" x14ac:dyDescent="0.25">
      <c r="B9" s="2">
        <v>29.8</v>
      </c>
      <c r="C9" s="2">
        <v>21.93333333</v>
      </c>
      <c r="D9" s="1">
        <f t="shared" si="0"/>
        <v>0.42396907212783308</v>
      </c>
      <c r="E9" s="1">
        <f t="shared" si="1"/>
        <v>0.1520618557443339</v>
      </c>
    </row>
    <row r="10" spans="2:5" x14ac:dyDescent="0.25">
      <c r="B10" s="2">
        <v>61.6</v>
      </c>
      <c r="C10" s="2">
        <v>63.733333330000001</v>
      </c>
      <c r="D10" s="1">
        <f t="shared" si="0"/>
        <v>0.50851063828480081</v>
      </c>
      <c r="E10" s="1">
        <f t="shared" si="1"/>
        <v>-1.7021276569601625E-2</v>
      </c>
    </row>
    <row r="11" spans="2:5" x14ac:dyDescent="0.25">
      <c r="B11" s="2">
        <v>57.8</v>
      </c>
      <c r="C11" s="2">
        <v>60.866666670000001</v>
      </c>
      <c r="D11" s="1">
        <f t="shared" si="0"/>
        <v>0.51292134832828873</v>
      </c>
      <c r="E11" s="1">
        <f t="shared" si="1"/>
        <v>-2.5842696656577482E-2</v>
      </c>
    </row>
    <row r="12" spans="2:5" x14ac:dyDescent="0.25">
      <c r="B12" s="2">
        <v>88.366666670000001</v>
      </c>
      <c r="C12" s="2">
        <v>78.7</v>
      </c>
      <c r="D12" s="1">
        <f t="shared" si="0"/>
        <v>0.4710694333505373</v>
      </c>
      <c r="E12" s="1">
        <f t="shared" si="1"/>
        <v>5.7861133298925338E-2</v>
      </c>
    </row>
    <row r="13" spans="2:5" x14ac:dyDescent="0.25">
      <c r="B13" s="2">
        <v>59.566666669999996</v>
      </c>
      <c r="C13" s="2">
        <v>56.5</v>
      </c>
      <c r="D13" s="1">
        <f t="shared" si="0"/>
        <v>0.48678920159429101</v>
      </c>
      <c r="E13" s="1">
        <f t="shared" si="1"/>
        <v>2.6421596811418077E-2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B5F-2FA1-4D50-B00F-8CF767DEECC9}">
  <dimension ref="A1:E13"/>
  <sheetViews>
    <sheetView tabSelected="1" workbookViewId="0">
      <selection activeCell="A2" sqref="A2"/>
    </sheetView>
  </sheetViews>
  <sheetFormatPr defaultRowHeight="15" x14ac:dyDescent="0.25"/>
  <cols>
    <col min="1" max="1" width="35.140625" style="1" bestFit="1" customWidth="1"/>
    <col min="2" max="4" width="9.140625" style="1"/>
    <col min="5" max="5" width="19.5703125" style="1" bestFit="1" customWidth="1"/>
    <col min="6" max="16384" width="9.140625" style="1"/>
  </cols>
  <sheetData>
    <row r="1" spans="1:5" ht="15.75" thickBot="1" x14ac:dyDescent="0.3">
      <c r="A1" s="15" t="s">
        <v>16</v>
      </c>
      <c r="B1" s="16" t="s">
        <v>0</v>
      </c>
      <c r="C1" s="16" t="s">
        <v>1</v>
      </c>
      <c r="D1" s="16" t="s">
        <v>2</v>
      </c>
      <c r="E1" s="17" t="s">
        <v>3</v>
      </c>
    </row>
    <row r="2" spans="1:5" x14ac:dyDescent="0.25">
      <c r="A2" s="11" t="s">
        <v>4</v>
      </c>
      <c r="B2" s="12">
        <v>69</v>
      </c>
      <c r="C2" s="12">
        <v>51.1</v>
      </c>
      <c r="D2" s="13">
        <f>C2/(B2+C2)</f>
        <v>0.42547876769358872</v>
      </c>
      <c r="E2" s="14">
        <f>(B2-C2)/(B2+C2)</f>
        <v>0.14904246461282264</v>
      </c>
    </row>
    <row r="3" spans="1:5" x14ac:dyDescent="0.25">
      <c r="A3" s="5" t="s">
        <v>5</v>
      </c>
      <c r="B3" s="4">
        <v>74.680000000000007</v>
      </c>
      <c r="C3" s="4">
        <v>31.1</v>
      </c>
      <c r="D3" s="3">
        <f t="shared" ref="D3:D13" si="0">C3/(B3+C3)</f>
        <v>0.29400642843637742</v>
      </c>
      <c r="E3" s="6">
        <f t="shared" ref="E3:E13" si="1">(B3-C3)/(B3+C3)</f>
        <v>0.41198714312724527</v>
      </c>
    </row>
    <row r="4" spans="1:5" x14ac:dyDescent="0.25">
      <c r="A4" s="5" t="s">
        <v>6</v>
      </c>
      <c r="B4" s="4">
        <v>45.2</v>
      </c>
      <c r="C4" s="4">
        <v>12.3</v>
      </c>
      <c r="D4" s="3">
        <f t="shared" si="0"/>
        <v>0.21391304347826087</v>
      </c>
      <c r="E4" s="6">
        <f t="shared" si="1"/>
        <v>0.57217391304347831</v>
      </c>
    </row>
    <row r="5" spans="1:5" x14ac:dyDescent="0.25">
      <c r="A5" s="5" t="s">
        <v>7</v>
      </c>
      <c r="B5" s="4">
        <v>66.099999999999994</v>
      </c>
      <c r="C5" s="4">
        <v>25.3</v>
      </c>
      <c r="D5" s="3">
        <f t="shared" si="0"/>
        <v>0.27680525164113789</v>
      </c>
      <c r="E5" s="6">
        <f t="shared" si="1"/>
        <v>0.44638949671772432</v>
      </c>
    </row>
    <row r="6" spans="1:5" x14ac:dyDescent="0.25">
      <c r="A6" s="5" t="s">
        <v>8</v>
      </c>
      <c r="B6" s="4">
        <v>21</v>
      </c>
      <c r="C6" s="4">
        <v>19.3</v>
      </c>
      <c r="D6" s="3">
        <f t="shared" si="0"/>
        <v>0.47890818858560802</v>
      </c>
      <c r="E6" s="6">
        <f t="shared" si="1"/>
        <v>4.2183622828784108E-2</v>
      </c>
    </row>
    <row r="7" spans="1:5" x14ac:dyDescent="0.25">
      <c r="A7" s="5" t="s">
        <v>9</v>
      </c>
      <c r="B7" s="4">
        <v>15.9</v>
      </c>
      <c r="C7" s="4">
        <v>9.5</v>
      </c>
      <c r="D7" s="3">
        <f t="shared" si="0"/>
        <v>0.37401574803149606</v>
      </c>
      <c r="E7" s="6">
        <f t="shared" si="1"/>
        <v>0.25196850393700793</v>
      </c>
    </row>
    <row r="8" spans="1:5" x14ac:dyDescent="0.25">
      <c r="A8" s="5" t="s">
        <v>10</v>
      </c>
      <c r="B8" s="4">
        <v>31.1</v>
      </c>
      <c r="C8" s="4">
        <v>32.5</v>
      </c>
      <c r="D8" s="3">
        <f t="shared" si="0"/>
        <v>0.51100628930817604</v>
      </c>
      <c r="E8" s="6">
        <f t="shared" si="1"/>
        <v>-2.2012578616352179E-2</v>
      </c>
    </row>
    <row r="9" spans="1:5" x14ac:dyDescent="0.25">
      <c r="A9" s="5" t="s">
        <v>11</v>
      </c>
      <c r="B9" s="4">
        <v>72.7</v>
      </c>
      <c r="C9" s="4">
        <v>23.8</v>
      </c>
      <c r="D9" s="3">
        <f t="shared" si="0"/>
        <v>0.24663212435233162</v>
      </c>
      <c r="E9" s="6">
        <f t="shared" si="1"/>
        <v>0.50673575129533688</v>
      </c>
    </row>
    <row r="10" spans="1:5" x14ac:dyDescent="0.25">
      <c r="A10" s="5" t="s">
        <v>12</v>
      </c>
      <c r="B10" s="4">
        <v>88.5</v>
      </c>
      <c r="C10" s="4">
        <v>58.2</v>
      </c>
      <c r="D10" s="3">
        <f t="shared" si="0"/>
        <v>0.39672801635991822</v>
      </c>
      <c r="E10" s="6">
        <f t="shared" si="1"/>
        <v>0.20654396728016361</v>
      </c>
    </row>
    <row r="11" spans="1:5" x14ac:dyDescent="0.25">
      <c r="A11" s="5" t="s">
        <v>13</v>
      </c>
      <c r="B11" s="4">
        <v>34.6</v>
      </c>
      <c r="C11" s="4">
        <v>40</v>
      </c>
      <c r="D11" s="3">
        <f t="shared" si="0"/>
        <v>0.53619302949061665</v>
      </c>
      <c r="E11" s="6">
        <f t="shared" si="1"/>
        <v>-7.2386058981233237E-2</v>
      </c>
    </row>
    <row r="12" spans="1:5" x14ac:dyDescent="0.25">
      <c r="A12" s="5" t="s">
        <v>14</v>
      </c>
      <c r="B12" s="4">
        <v>80</v>
      </c>
      <c r="C12" s="4">
        <v>38</v>
      </c>
      <c r="D12" s="3">
        <f t="shared" si="0"/>
        <v>0.32203389830508472</v>
      </c>
      <c r="E12" s="6">
        <f t="shared" si="1"/>
        <v>0.3559322033898305</v>
      </c>
    </row>
    <row r="13" spans="1:5" ht="15.75" thickBot="1" x14ac:dyDescent="0.3">
      <c r="A13" s="7" t="s">
        <v>15</v>
      </c>
      <c r="B13" s="8">
        <v>47.4</v>
      </c>
      <c r="C13" s="8">
        <v>24.3</v>
      </c>
      <c r="D13" s="9">
        <f t="shared" si="0"/>
        <v>0.33891213389121339</v>
      </c>
      <c r="E13" s="10">
        <f t="shared" si="1"/>
        <v>0.32217573221757317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0A5C-2A11-4215-8D34-C117665CB244}">
  <dimension ref="A1:E13"/>
  <sheetViews>
    <sheetView workbookViewId="0">
      <selection activeCell="F20" sqref="F20"/>
    </sheetView>
  </sheetViews>
  <sheetFormatPr defaultRowHeight="15" x14ac:dyDescent="0.25"/>
  <cols>
    <col min="1" max="1" width="35.140625" style="1" bestFit="1" customWidth="1"/>
    <col min="2" max="4" width="9.140625" style="1"/>
    <col min="5" max="5" width="19.5703125" style="1" bestFit="1" customWidth="1"/>
    <col min="6" max="16384" width="9.140625" style="1"/>
  </cols>
  <sheetData>
    <row r="1" spans="1:5" ht="15.75" thickBot="1" x14ac:dyDescent="0.3">
      <c r="A1" s="15" t="s">
        <v>16</v>
      </c>
      <c r="B1" s="16" t="s">
        <v>0</v>
      </c>
      <c r="C1" s="16" t="s">
        <v>1</v>
      </c>
      <c r="D1" s="16" t="s">
        <v>2</v>
      </c>
      <c r="E1" s="17" t="s">
        <v>3</v>
      </c>
    </row>
    <row r="2" spans="1:5" x14ac:dyDescent="0.25">
      <c r="A2" s="11" t="s">
        <v>17</v>
      </c>
      <c r="B2" s="12">
        <v>46.23</v>
      </c>
      <c r="C2" s="12">
        <v>46.9</v>
      </c>
      <c r="D2" s="13">
        <f>C2/(B2+C2)</f>
        <v>0.50359712230215825</v>
      </c>
      <c r="E2" s="14">
        <f>(B2-C2)/(B2+C2)</f>
        <v>-7.1942446043165654E-3</v>
      </c>
    </row>
    <row r="3" spans="1:5" x14ac:dyDescent="0.25">
      <c r="A3" s="5" t="s">
        <v>18</v>
      </c>
      <c r="B3" s="4">
        <v>35.700000000000003</v>
      </c>
      <c r="C3" s="4">
        <v>18.7</v>
      </c>
      <c r="D3" s="3">
        <f t="shared" ref="D3:D13" si="0">C3/(B3+C3)</f>
        <v>0.34374999999999994</v>
      </c>
      <c r="E3" s="6">
        <f t="shared" ref="E3:E13" si="1">(B3-C3)/(B3+C3)</f>
        <v>0.31250000000000006</v>
      </c>
    </row>
    <row r="4" spans="1:5" x14ac:dyDescent="0.25">
      <c r="A4" s="5" t="s">
        <v>19</v>
      </c>
      <c r="B4" s="4">
        <v>75.099999999999994</v>
      </c>
      <c r="C4" s="4">
        <v>53.9</v>
      </c>
      <c r="D4" s="3">
        <f t="shared" si="0"/>
        <v>0.41782945736434107</v>
      </c>
      <c r="E4" s="6">
        <f t="shared" si="1"/>
        <v>0.1643410852713178</v>
      </c>
    </row>
    <row r="5" spans="1:5" x14ac:dyDescent="0.25">
      <c r="A5" s="5" t="s">
        <v>20</v>
      </c>
      <c r="B5" s="4">
        <v>78.5</v>
      </c>
      <c r="C5" s="4">
        <v>39.5</v>
      </c>
      <c r="D5" s="3">
        <f t="shared" si="0"/>
        <v>0.3347457627118644</v>
      </c>
      <c r="E5" s="6">
        <f t="shared" si="1"/>
        <v>0.33050847457627119</v>
      </c>
    </row>
    <row r="6" spans="1:5" x14ac:dyDescent="0.25">
      <c r="A6" s="5" t="s">
        <v>21</v>
      </c>
      <c r="B6" s="4">
        <v>36.700000000000003</v>
      </c>
      <c r="C6" s="4">
        <v>60.9</v>
      </c>
      <c r="D6" s="3">
        <f t="shared" si="0"/>
        <v>0.62397540983606559</v>
      </c>
      <c r="E6" s="6">
        <f t="shared" si="1"/>
        <v>-0.24795081967213112</v>
      </c>
    </row>
    <row r="7" spans="1:5" x14ac:dyDescent="0.25">
      <c r="A7" s="5" t="s">
        <v>22</v>
      </c>
      <c r="B7" s="4">
        <v>69.3</v>
      </c>
      <c r="C7" s="4">
        <v>41.2</v>
      </c>
      <c r="D7" s="3">
        <f t="shared" si="0"/>
        <v>0.37285067873303168</v>
      </c>
      <c r="E7" s="6">
        <f t="shared" si="1"/>
        <v>0.25429864253393658</v>
      </c>
    </row>
    <row r="8" spans="1:5" x14ac:dyDescent="0.25">
      <c r="A8" s="5" t="s">
        <v>23</v>
      </c>
      <c r="B8" s="4">
        <v>52</v>
      </c>
      <c r="C8" s="4">
        <v>35.4</v>
      </c>
      <c r="D8" s="3">
        <f t="shared" si="0"/>
        <v>0.40503432494279173</v>
      </c>
      <c r="E8" s="6">
        <f t="shared" si="1"/>
        <v>0.18993135011441648</v>
      </c>
    </row>
    <row r="9" spans="1:5" x14ac:dyDescent="0.25">
      <c r="A9" s="5" t="s">
        <v>24</v>
      </c>
      <c r="B9" s="4">
        <v>31.8</v>
      </c>
      <c r="C9" s="4">
        <v>22.5</v>
      </c>
      <c r="D9" s="3">
        <f t="shared" si="0"/>
        <v>0.4143646408839779</v>
      </c>
      <c r="E9" s="6">
        <f t="shared" si="1"/>
        <v>0.17127071823204423</v>
      </c>
    </row>
    <row r="10" spans="1:5" x14ac:dyDescent="0.25">
      <c r="A10" s="5" t="s">
        <v>25</v>
      </c>
      <c r="B10" s="4">
        <v>64.599999999999994</v>
      </c>
      <c r="C10" s="4">
        <v>59.5</v>
      </c>
      <c r="D10" s="3">
        <f t="shared" si="0"/>
        <v>0.47945205479452058</v>
      </c>
      <c r="E10" s="6">
        <f t="shared" si="1"/>
        <v>4.109589041095886E-2</v>
      </c>
    </row>
    <row r="11" spans="1:5" x14ac:dyDescent="0.25">
      <c r="A11" s="5" t="s">
        <v>26</v>
      </c>
      <c r="B11" s="4">
        <v>60.9</v>
      </c>
      <c r="C11" s="4">
        <v>57.6</v>
      </c>
      <c r="D11" s="3">
        <f t="shared" si="0"/>
        <v>0.48607594936708864</v>
      </c>
      <c r="E11" s="6">
        <f t="shared" si="1"/>
        <v>2.784810126582276E-2</v>
      </c>
    </row>
    <row r="12" spans="1:5" x14ac:dyDescent="0.25">
      <c r="A12" s="5" t="s">
        <v>27</v>
      </c>
      <c r="B12" s="4">
        <v>92.4</v>
      </c>
      <c r="C12" s="4">
        <v>78.3</v>
      </c>
      <c r="D12" s="3">
        <f t="shared" si="0"/>
        <v>0.45869947275922673</v>
      </c>
      <c r="E12" s="6">
        <f t="shared" si="1"/>
        <v>8.2601054481546629E-2</v>
      </c>
    </row>
    <row r="13" spans="1:5" ht="15.75" thickBot="1" x14ac:dyDescent="0.3">
      <c r="A13" s="7" t="s">
        <v>28</v>
      </c>
      <c r="B13" s="8">
        <v>67.650000000000006</v>
      </c>
      <c r="C13" s="8">
        <v>55</v>
      </c>
      <c r="D13" s="9">
        <f t="shared" si="0"/>
        <v>0.44843049327354256</v>
      </c>
      <c r="E13" s="10">
        <f t="shared" si="1"/>
        <v>0.10313901345291485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Contexto A - BY</vt:lpstr>
      <vt:lpstr>Contexto B - BY</vt:lpstr>
      <vt:lpstr>Contexto A - Manual</vt:lpstr>
      <vt:lpstr>Contexto B -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 Costa</cp:lastModifiedBy>
  <dcterms:created xsi:type="dcterms:W3CDTF">2015-06-05T18:19:34Z</dcterms:created>
  <dcterms:modified xsi:type="dcterms:W3CDTF">2026-01-17T12:45:07Z</dcterms:modified>
</cp:coreProperties>
</file>